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 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PricePulse: Inflation ROI Model</t>
        </is>
      </c>
    </row>
    <row r="3">
      <c r="A3" t="inlineStr">
        <is>
          <t>Global Inputs</t>
        </is>
      </c>
    </row>
    <row r="4">
      <c r="A4" t="inlineStr">
        <is>
          <t>Pass-through Rate (%)</t>
        </is>
      </c>
      <c r="B4" t="n">
        <v>0.5</v>
      </c>
    </row>
    <row r="6">
      <c r="A6" t="inlineStr">
        <is>
          <t>Category Scenarios</t>
        </is>
      </c>
    </row>
    <row r="8">
      <c r="A8" t="inlineStr">
        <is>
          <t>Apparel</t>
        </is>
      </c>
      <c r="B8" t="n">
        <v>100</v>
      </c>
      <c r="C8" t="n">
        <v>0.2</v>
      </c>
      <c r="D8" t="n">
        <v>0.6731930126607369</v>
      </c>
      <c r="E8">
        <f>B8*(1-C8)*(D8/100)</f>
        <v/>
      </c>
      <c r="F8">
        <f>B8 + (E8 * $B$4)</f>
        <v/>
      </c>
      <c r="G8">
        <f>(F8 - (B8*(1-C8) + E8)) / F8</f>
        <v/>
      </c>
      <c r="H8">
        <f>(F8/B8 - 1) * -0.5</f>
        <v/>
      </c>
    </row>
    <row r="9">
      <c r="A9" t="inlineStr">
        <is>
          <t>Energy</t>
        </is>
      </c>
      <c r="B9" t="n">
        <v>100</v>
      </c>
      <c r="C9" t="n">
        <v>0.2</v>
      </c>
      <c r="D9" t="n">
        <v>0.9471236479852601</v>
      </c>
      <c r="E9">
        <f>B9*(1-C9)*(D9/100)</f>
        <v/>
      </c>
      <c r="F9">
        <f>B9 + (E9 * $B$4)</f>
        <v/>
      </c>
      <c r="G9">
        <f>(F9 - (B9*(1-C9) + E9)) / F9</f>
        <v/>
      </c>
      <c r="H9">
        <f>(F9/B9 - 1) * -0.5</f>
        <v/>
      </c>
    </row>
    <row r="10">
      <c r="A10" t="inlineStr">
        <is>
          <t>Food</t>
        </is>
      </c>
      <c r="B10" t="n">
        <v>100</v>
      </c>
      <c r="C10" t="n">
        <v>0.2</v>
      </c>
      <c r="D10" t="n">
        <v>0.1980257567894181</v>
      </c>
      <c r="E10">
        <f>B10*(1-C10)*(D10/100)</f>
        <v/>
      </c>
      <c r="F10">
        <f>B10 + (E10 * $B$4)</f>
        <v/>
      </c>
      <c r="G10">
        <f>(F10 - (B10*(1-C10) + E10)) / F10</f>
        <v/>
      </c>
      <c r="H10">
        <f>(F10/B10 - 1) * -0.5</f>
        <v/>
      </c>
    </row>
    <row r="11">
      <c r="A11" t="inlineStr">
        <is>
          <t>Gasoline</t>
        </is>
      </c>
      <c r="B11" t="n">
        <v>100</v>
      </c>
      <c r="C11" t="n">
        <v>0.2</v>
      </c>
      <c r="D11" t="n">
        <v>1.415381738121386</v>
      </c>
      <c r="E11">
        <f>B11*(1-C11)*(D11/100)</f>
        <v/>
      </c>
      <c r="F11">
        <f>B11 + (E11 * $B$4)</f>
        <v/>
      </c>
      <c r="G11">
        <f>(F11 - (B11*(1-C11) + E11)) / F11</f>
        <v/>
      </c>
      <c r="H11">
        <f>(F11/B11 - 1) * -0.5</f>
        <v/>
      </c>
    </row>
    <row r="12">
      <c r="A12" t="inlineStr">
        <is>
          <t>Headline CPI</t>
        </is>
      </c>
      <c r="B12" t="n">
        <v>100</v>
      </c>
      <c r="C12" t="n">
        <v>0.2</v>
      </c>
      <c r="D12" t="n">
        <v>0.3340782809854737</v>
      </c>
      <c r="E12">
        <f>B12*(1-C12)*(D12/100)</f>
        <v/>
      </c>
      <c r="F12">
        <f>B12 + (E12 * $B$4)</f>
        <v/>
      </c>
      <c r="G12">
        <f>(F12 - (B12*(1-C12) + E12)) / F12</f>
        <v/>
      </c>
      <c r="H12">
        <f>(F12/B12 - 1) * -0.5</f>
        <v/>
      </c>
    </row>
    <row r="13">
      <c r="A13" t="inlineStr">
        <is>
          <t>New Vehicles</t>
        </is>
      </c>
      <c r="B13" t="n">
        <v>100</v>
      </c>
      <c r="C13" t="n">
        <v>0.2</v>
      </c>
      <c r="D13" t="n">
        <v>0.09971596875792244</v>
      </c>
      <c r="E13">
        <f>B13*(1-C13)*(D13/100)</f>
        <v/>
      </c>
      <c r="F13">
        <f>B13 + (E13 * $B$4)</f>
        <v/>
      </c>
      <c r="G13">
        <f>(F13 - (B13*(1-C13) + E13)) / F13</f>
        <v/>
      </c>
      <c r="H13">
        <f>(F13/B13 - 1) * -0.5</f>
        <v/>
      </c>
    </row>
    <row r="14">
      <c r="A14" t="inlineStr">
        <is>
          <t>Shelter</t>
        </is>
      </c>
      <c r="B14" t="n">
        <v>100</v>
      </c>
      <c r="C14" t="n">
        <v>0.2</v>
      </c>
      <c r="D14" t="n">
        <v>0.2841545882319225</v>
      </c>
      <c r="E14">
        <f>B14*(1-C14)*(D14/100)</f>
        <v/>
      </c>
      <c r="F14">
        <f>B14 + (E14 * $B$4)</f>
        <v/>
      </c>
      <c r="G14">
        <f>(F14 - (B14*(1-C14) + E14)) / F14</f>
        <v/>
      </c>
      <c r="H14">
        <f>(F14/B14 - 1) * -0.5</f>
        <v/>
      </c>
    </row>
    <row r="15">
      <c r="A15" t="inlineStr">
        <is>
          <t>Used Cars and Trucks</t>
        </is>
      </c>
      <c r="B15" t="n">
        <v>100</v>
      </c>
      <c r="C15" t="n">
        <v>0.2</v>
      </c>
      <c r="D15" t="n">
        <v>0.03919736003879951</v>
      </c>
      <c r="E15">
        <f>B15*(1-C15)*(D15/100)</f>
        <v/>
      </c>
      <c r="F15">
        <f>B15 + (E15 * $B$4)</f>
        <v/>
      </c>
      <c r="G15">
        <f>(F15 - (B15*(1-C15) + E15)) / F15</f>
        <v/>
      </c>
      <c r="H15">
        <f>(F15/B15 - 1) * -0.5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2026-10-15T02:55:55Z</dcterms:created>
  <dcterms:modified xsi:type="dcterms:W3CDTF">2026-10-15T02:55:55Z</dcterms:modified>
</cp:coreProperties>
</file>